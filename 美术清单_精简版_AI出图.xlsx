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-出图规则" sheetId="1" state="visible" r:id="rId3"/>
    <sheet name="1-出图清单" sheetId="2" state="visible" r:id="rId4"/>
    <sheet name="2-模块汇总" sheetId="3" state="visible" r:id="rId5"/>
  </sheets>
  <definedNames>
    <definedName function="false" hidden="true" localSheetId="1" name="_xlnm._FilterDatabase" vbProcedure="false">'1-出图清单'!$A$1:$H$43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<sst xmlns="http://schemas.openxmlformats.org/spreadsheetml/2006/main" count="257" uniqueCount="163">
  <si>
    <t xml:space="preserve">项目</t>
  </si>
  <si>
    <t xml:space="preserve">内容</t>
  </si>
  <si>
    <t xml:space="preserve">总量</t>
  </si>
  <si>
    <r>
      <rPr>
        <sz val="10"/>
        <rFont val="Arial"/>
        <family val="0"/>
        <charset val="1"/>
      </rPr>
      <t xml:space="preserve">254 </t>
    </r>
    <r>
      <rPr>
        <sz val="10"/>
        <rFont val="DejaVu Sans"/>
        <family val="2"/>
      </rPr>
      <t xml:space="preserve">张（</t>
    </r>
    <r>
      <rPr>
        <sz val="10"/>
        <rFont val="Arial"/>
        <family val="0"/>
        <charset val="1"/>
      </rPr>
      <t xml:space="preserve">v1 </t>
    </r>
    <r>
      <rPr>
        <sz val="10"/>
        <rFont val="DejaVu Sans"/>
        <family val="2"/>
      </rPr>
      <t xml:space="preserve">全量版为 </t>
    </r>
    <r>
      <rPr>
        <sz val="10"/>
        <rFont val="Arial"/>
        <family val="0"/>
        <charset val="1"/>
      </rPr>
      <t xml:space="preserve">2309 </t>
    </r>
    <r>
      <rPr>
        <sz val="10"/>
        <rFont val="DejaVu Sans"/>
        <family val="2"/>
      </rPr>
      <t xml:space="preserve">件，压缩约 </t>
    </r>
    <r>
      <rPr>
        <sz val="10"/>
        <rFont val="Arial"/>
        <family val="0"/>
        <charset val="1"/>
      </rPr>
      <t xml:space="preserve">90%</t>
    </r>
    <r>
      <rPr>
        <sz val="10"/>
        <rFont val="DejaVu Sans"/>
        <family val="2"/>
      </rPr>
      <t xml:space="preserve">）</t>
    </r>
  </si>
  <si>
    <r>
      <rPr>
        <b val="true"/>
        <sz val="10"/>
        <rFont val="DejaVu Sans"/>
        <family val="2"/>
      </rPr>
      <t xml:space="preserve">风格锁定 </t>
    </r>
    <r>
      <rPr>
        <b val="true"/>
        <sz val="10"/>
        <rFont val="Arial"/>
        <family val="0"/>
        <charset val="1"/>
      </rPr>
      <t xml:space="preserve">Prompt</t>
    </r>
  </si>
  <si>
    <t xml:space="preserve">Chibi 3-head-tall 2D game art, professional road cycling theme. Clean flat cel-shading, 3px dark outline (base color darkened 40%), single hard shadow layer, no soft gradients, saturated but not neon, mobile game UI quality, sharp readable silhouette at small size, front-lit, no photorealism, no 3D render look, transparent background.</t>
  </si>
  <si>
    <t xml:space="preserve">统一负向词</t>
  </si>
  <si>
    <t xml:space="preserve">no text, no letters, no watermark, no signature, no realistic proportions, no anime teen style, no 3D render, no gradient mesh, no drop shadow blur, no busy background</t>
  </si>
  <si>
    <t xml:space="preserve">出图尺寸策略</t>
  </si>
  <si>
    <r>
      <rPr>
        <sz val="10"/>
        <rFont val="Arial"/>
        <family val="0"/>
        <charset val="1"/>
      </rPr>
      <t xml:space="preserve">GPT </t>
    </r>
    <r>
      <rPr>
        <sz val="10"/>
        <rFont val="DejaVu Sans"/>
        <family val="2"/>
      </rPr>
      <t xml:space="preserve">按 </t>
    </r>
    <r>
      <rPr>
        <sz val="10"/>
        <rFont val="Arial"/>
        <family val="0"/>
        <charset val="1"/>
      </rPr>
      <t xml:space="preserve">1024x1024 </t>
    </r>
    <r>
      <rPr>
        <sz val="10"/>
        <rFont val="DejaVu Sans"/>
        <family val="2"/>
      </rPr>
      <t xml:space="preserve">或 </t>
    </r>
    <r>
      <rPr>
        <sz val="10"/>
        <rFont val="Arial"/>
        <family val="0"/>
        <charset val="1"/>
      </rPr>
      <t xml:space="preserve">1536x1024 </t>
    </r>
    <r>
      <rPr>
        <sz val="10"/>
        <rFont val="DejaVu Sans"/>
        <family val="2"/>
      </rPr>
      <t xml:space="preserve">出，交付前脚本批量缩放到目标规格。不要在 </t>
    </r>
    <r>
      <rPr>
        <sz val="10"/>
        <rFont val="Arial"/>
        <family val="0"/>
        <charset val="1"/>
      </rPr>
      <t xml:space="preserve">prompt </t>
    </r>
    <r>
      <rPr>
        <sz val="10"/>
        <rFont val="DejaVu Sans"/>
        <family val="2"/>
      </rPr>
      <t xml:space="preserve">里要求奇怪尺寸，会掉质量</t>
    </r>
  </si>
  <si>
    <t xml:space="preserve">角色一致性做法</t>
  </si>
  <si>
    <t xml:space="preserve">先生成一张多姿势合集图作为该角色参考锚，后续所有图带参考图生成，不要每次重新文字描述</t>
  </si>
  <si>
    <t xml:space="preserve">批量图标做法</t>
  </si>
  <si>
    <r>
      <rPr>
        <sz val="10"/>
        <rFont val="DejaVu Sans"/>
        <family val="2"/>
      </rPr>
      <t xml:space="preserve">让 </t>
    </r>
    <r>
      <rPr>
        <sz val="10"/>
        <rFont val="Arial"/>
        <family val="0"/>
        <charset val="1"/>
      </rPr>
      <t xml:space="preserve">GPT </t>
    </r>
    <r>
      <rPr>
        <sz val="10"/>
        <rFont val="DejaVu Sans"/>
        <family val="2"/>
      </rPr>
      <t xml:space="preserve">一次画 </t>
    </r>
    <r>
      <rPr>
        <sz val="10"/>
        <rFont val="Arial"/>
        <family val="0"/>
        <charset val="1"/>
      </rPr>
      <t xml:space="preserve">4x4 </t>
    </r>
    <r>
      <rPr>
        <sz val="10"/>
        <rFont val="DejaVu Sans"/>
        <family val="2"/>
      </rPr>
      <t xml:space="preserve">网格图标合集，再脚本切格。比单独出 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次稳定得多</t>
    </r>
  </si>
  <si>
    <r>
      <rPr>
        <b val="true"/>
        <sz val="10"/>
        <rFont val="DejaVu Sans"/>
        <family val="2"/>
      </rPr>
      <t xml:space="preserve">【不要用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出】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</si>
  <si>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DejaVu Sans"/>
        <family val="2"/>
      </rPr>
      <t xml:space="preserve">九宫格拉伸底图 ——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画不出等宽可切边框，</t>
    </r>
    <r>
      <rPr>
        <sz val="10"/>
        <rFont val="Arial"/>
        <family val="0"/>
        <charset val="1"/>
      </rPr>
      <t xml:space="preserve">Figma </t>
    </r>
    <r>
      <rPr>
        <sz val="10"/>
        <rFont val="DejaVu Sans"/>
        <family val="2"/>
      </rPr>
      <t xml:space="preserve">十分钟完成</t>
    </r>
  </si>
  <si>
    <r>
      <rPr>
        <b val="true"/>
        <sz val="10"/>
        <rFont val="DejaVu Sans"/>
        <family val="2"/>
      </rPr>
      <t xml:space="preserve">【不要用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出】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</si>
  <si>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DejaVu Sans"/>
        <family val="2"/>
      </rPr>
      <t xml:space="preserve">无缝循环卷轴层 ——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接缝对不上，做法是出 </t>
    </r>
    <r>
      <rPr>
        <sz val="10"/>
        <rFont val="Arial"/>
        <family val="0"/>
        <charset val="1"/>
      </rPr>
      <t xml:space="preserve">1600px </t>
    </r>
    <r>
      <rPr>
        <sz val="10"/>
        <rFont val="DejaVu Sans"/>
        <family val="2"/>
      </rPr>
      <t xml:space="preserve">非循环长条再人工对接</t>
    </r>
  </si>
  <si>
    <r>
      <rPr>
        <b val="true"/>
        <sz val="10"/>
        <rFont val="DejaVu Sans"/>
        <family val="2"/>
      </rPr>
      <t xml:space="preserve">【不要用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出】</t>
    </r>
    <r>
      <rPr>
        <b val="true"/>
        <sz val="10"/>
        <rFont val="Arial"/>
        <family val="0"/>
        <charset val="1"/>
      </rPr>
      <t xml:space="preserve">3</t>
    </r>
  </si>
  <si>
    <t xml:space="preserve">任何含文字的图 —— 字全是乱码，文字一律引擎排版</t>
  </si>
  <si>
    <r>
      <rPr>
        <b val="true"/>
        <sz val="10"/>
        <rFont val="DejaVu Sans"/>
        <family val="2"/>
      </rPr>
      <t xml:space="preserve">【不要用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出】</t>
    </r>
    <r>
      <rPr>
        <b val="true"/>
        <sz val="10"/>
        <rFont val="Arial"/>
        <family val="0"/>
        <charset val="1"/>
      </rPr>
      <t xml:space="preserve">4</t>
    </r>
  </si>
  <si>
    <r>
      <rPr>
        <sz val="10"/>
        <rFont val="DejaVu Sans"/>
        <family val="2"/>
      </rPr>
      <t xml:space="preserve">需严格一致的换色件（队服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涂装 </t>
    </r>
    <r>
      <rPr>
        <sz val="10"/>
        <rFont val="Arial"/>
        <family val="0"/>
        <charset val="1"/>
      </rPr>
      <t xml:space="preserve">Mask</t>
    </r>
    <r>
      <rPr>
        <sz val="10"/>
        <rFont val="DejaVu Sans"/>
        <family val="2"/>
      </rPr>
      <t xml:space="preserve">）—— 用灰度图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程序染色</t>
    </r>
  </si>
  <si>
    <r>
      <rPr>
        <b val="true"/>
        <sz val="10"/>
        <rFont val="DejaVu Sans"/>
        <family val="2"/>
      </rPr>
      <t xml:space="preserve">【不要用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出】</t>
    </r>
    <r>
      <rPr>
        <b val="true"/>
        <sz val="10"/>
        <rFont val="Arial"/>
        <family val="0"/>
        <charset val="1"/>
      </rPr>
      <t xml:space="preserve">5</t>
    </r>
  </si>
  <si>
    <r>
      <rPr>
        <sz val="10"/>
        <rFont val="DejaVu Sans"/>
        <family val="2"/>
      </rPr>
      <t xml:space="preserve">赛道俯视地图与海拔剖面 —— 数据程序化绘制，比 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准确</t>
    </r>
  </si>
  <si>
    <r>
      <rPr>
        <b val="true"/>
        <sz val="10"/>
        <rFont val="DejaVu Sans"/>
        <family val="2"/>
      </rPr>
      <t xml:space="preserve">【不要用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出】</t>
    </r>
    <r>
      <rPr>
        <b val="true"/>
        <sz val="10"/>
        <rFont val="Arial"/>
        <family val="0"/>
        <charset val="1"/>
      </rPr>
      <t xml:space="preserve">6</t>
    </r>
  </si>
  <si>
    <r>
      <rPr>
        <sz val="10"/>
        <rFont val="DejaVu Sans"/>
        <family val="2"/>
      </rPr>
      <t xml:space="preserve">按钮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滑条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开关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进度条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导航栏 —— </t>
    </r>
    <r>
      <rPr>
        <sz val="10"/>
        <rFont val="Arial"/>
        <family val="0"/>
        <charset val="1"/>
      </rPr>
      <t xml:space="preserve">Figma </t>
    </r>
    <r>
      <rPr>
        <sz val="10"/>
        <rFont val="DejaVu Sans"/>
        <family val="2"/>
      </rPr>
      <t xml:space="preserve">半天做完且更规范</t>
    </r>
  </si>
  <si>
    <t xml:space="preserve">工作量估算</t>
  </si>
  <si>
    <r>
      <rPr>
        <sz val="10"/>
        <rFont val="DejaVu Sans"/>
        <family val="2"/>
      </rPr>
      <t xml:space="preserve">按平均 </t>
    </r>
    <r>
      <rPr>
        <sz val="10"/>
        <rFont val="Arial"/>
        <family val="0"/>
        <charset val="1"/>
      </rPr>
      <t xml:space="preserve">3-4 </t>
    </r>
    <r>
      <rPr>
        <sz val="10"/>
        <rFont val="DejaVu Sans"/>
        <family val="2"/>
      </rPr>
      <t xml:space="preserve">次迭代出一张可用图，约 </t>
    </r>
    <r>
      <rPr>
        <sz val="10"/>
        <rFont val="Arial"/>
        <family val="0"/>
        <charset val="1"/>
      </rPr>
      <t xml:space="preserve">900 </t>
    </r>
    <r>
      <rPr>
        <sz val="10"/>
        <rFont val="DejaVu Sans"/>
        <family val="2"/>
      </rPr>
      <t xml:space="preserve">次生成；含抠图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缩放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切图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拼图集约 </t>
    </r>
    <r>
      <rPr>
        <sz val="10"/>
        <rFont val="Arial"/>
        <family val="0"/>
        <charset val="1"/>
      </rPr>
      <t xml:space="preserve">25-35 </t>
    </r>
    <r>
      <rPr>
        <sz val="10"/>
        <rFont val="DejaVu Sans"/>
        <family val="2"/>
      </rPr>
      <t xml:space="preserve">人日</t>
    </r>
  </si>
  <si>
    <t xml:space="preserve">出图顺序</t>
  </si>
  <si>
    <r>
      <rPr>
        <sz val="10"/>
        <rFont val="DejaVu Sans"/>
        <family val="2"/>
      </rPr>
      <t xml:space="preserve">第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批：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车手骑行图</t>
    </r>
    <r>
      <rPr>
        <sz val="10"/>
        <rFont val="Arial"/>
        <family val="0"/>
        <charset val="1"/>
      </rPr>
      <t xml:space="preserve">+1</t>
    </r>
    <r>
      <rPr>
        <sz val="10"/>
        <rFont val="DejaVu Sans"/>
        <family val="2"/>
      </rPr>
      <t xml:space="preserve">整车</t>
    </r>
    <r>
      <rPr>
        <sz val="10"/>
        <rFont val="Arial"/>
        <family val="0"/>
        <charset val="1"/>
      </rPr>
      <t xml:space="preserve">+1</t>
    </r>
    <r>
      <rPr>
        <sz val="10"/>
        <rFont val="DejaVu Sans"/>
        <family val="2"/>
      </rPr>
      <t xml:space="preserve">套卷轴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层，引擎里拼起来验风格 → 第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批：</t>
    </r>
    <r>
      <rPr>
        <sz val="10"/>
        <rFont val="Arial"/>
        <family val="0"/>
        <charset val="1"/>
      </rPr>
      <t xml:space="preserve">32</t>
    </r>
    <r>
      <rPr>
        <sz val="10"/>
        <rFont val="DejaVu Sans"/>
        <family val="2"/>
      </rPr>
      <t xml:space="preserve">头像</t>
    </r>
    <r>
      <rPr>
        <sz val="10"/>
        <rFont val="Arial"/>
        <family val="0"/>
        <charset val="1"/>
      </rPr>
      <t xml:space="preserve">+10</t>
    </r>
    <r>
      <rPr>
        <sz val="10"/>
        <rFont val="DejaVu Sans"/>
        <family val="2"/>
      </rPr>
      <t xml:space="preserve">场景 → 最后：</t>
    </r>
    <r>
      <rPr>
        <sz val="10"/>
        <rFont val="Arial"/>
        <family val="0"/>
        <charset val="1"/>
      </rPr>
      <t xml:space="preserve">Logo/</t>
    </r>
    <r>
      <rPr>
        <sz val="10"/>
        <rFont val="DejaVu Sans"/>
        <family val="2"/>
      </rPr>
      <t xml:space="preserve">徽章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图标合集</t>
    </r>
  </si>
  <si>
    <t xml:space="preserve">序号</t>
  </si>
  <si>
    <t xml:space="preserve">模块</t>
  </si>
  <si>
    <t xml:space="preserve">资源名称</t>
  </si>
  <si>
    <t xml:space="preserve">目标规格</t>
  </si>
  <si>
    <t xml:space="preserve">张数</t>
  </si>
  <si>
    <t xml:space="preserve">出图方式</t>
  </si>
  <si>
    <r>
      <rPr>
        <b val="true"/>
        <sz val="10"/>
        <color rgb="FFFFFFFF"/>
        <rFont val="DejaVu Sans"/>
        <family val="2"/>
      </rPr>
      <t xml:space="preserve">要点 </t>
    </r>
    <r>
      <rPr>
        <b val="true"/>
        <sz val="10"/>
        <color rgb="FFFFFFFF"/>
        <rFont val="Arial"/>
        <family val="0"/>
        <charset val="1"/>
      </rPr>
      <t xml:space="preserve">/ Prompt </t>
    </r>
    <r>
      <rPr>
        <b val="true"/>
        <sz val="10"/>
        <color rgb="FFFFFFFF"/>
        <rFont val="DejaVu Sans"/>
        <family val="2"/>
      </rPr>
      <t xml:space="preserve">提示</t>
    </r>
  </si>
  <si>
    <t xml:space="preserve">完成</t>
  </si>
  <si>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车手</t>
    </r>
  </si>
  <si>
    <t xml:space="preserve">车手头像</t>
  </si>
  <si>
    <t xml:space="preserve">256x256</t>
  </si>
  <si>
    <t xml:space="preserve">AI</t>
  </si>
  <si>
    <r>
      <rPr>
        <sz val="10"/>
        <rFont val="DejaVu Sans"/>
        <family val="2"/>
      </rPr>
      <t xml:space="preserve">多样化族裔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发型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年龄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气质；</t>
    </r>
    <r>
      <rPr>
        <sz val="10"/>
        <rFont val="Arial"/>
        <family val="0"/>
        <charset val="1"/>
      </rPr>
      <t xml:space="preserve">150</t>
    </r>
    <r>
      <rPr>
        <sz val="10"/>
        <rFont val="DejaVu Sans"/>
        <family val="2"/>
      </rPr>
      <t xml:space="preserve">车手复用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队服色区分。不做组件拼装</t>
    </r>
  </si>
  <si>
    <t xml:space="preserve">侧视骑行关键姿势</t>
  </si>
  <si>
    <r>
      <rPr>
        <sz val="10"/>
        <rFont val="Arial"/>
        <family val="0"/>
        <charset val="1"/>
      </rPr>
      <t xml:space="preserve">512x512 </t>
    </r>
    <r>
      <rPr>
        <sz val="10"/>
        <rFont val="DejaVu Sans"/>
        <family val="2"/>
      </rPr>
      <t xml:space="preserve">透明</t>
    </r>
  </si>
  <si>
    <r>
      <rPr>
        <sz val="10"/>
        <rFont val="DejaVu Sans"/>
        <family val="2"/>
      </rPr>
      <t xml:space="preserve">巡航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摇车冲刺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俯冲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爬坡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耗尽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摔车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庆祝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推车；仅出标准体型，另两体型用骨骼缩放</t>
    </r>
  </si>
  <si>
    <t xml:space="preserve">全身立绘</t>
  </si>
  <si>
    <t xml:space="preserve">600x900</t>
  </si>
  <si>
    <r>
      <rPr>
        <sz val="10"/>
        <rFont val="DejaVu Sans"/>
        <family val="2"/>
      </rPr>
      <t xml:space="preserve">瘦削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标准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强壮，站立中性，队服留白待染色</t>
    </r>
  </si>
  <si>
    <t xml:space="preserve">情绪表情</t>
  </si>
  <si>
    <t xml:space="preserve">128x128</t>
  </si>
  <si>
    <r>
      <rPr>
        <sz val="10"/>
        <rFont val="DejaVu Sans"/>
        <family val="2"/>
      </rPr>
      <t xml:space="preserve">自信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疲惫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愤怒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专注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沮丧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兴奋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紧张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受伤</t>
    </r>
  </si>
  <si>
    <t xml:space="preserve">属性图标合集</t>
  </si>
  <si>
    <r>
      <rPr>
        <sz val="10"/>
        <rFont val="DejaVu Sans"/>
        <family val="2"/>
      </rPr>
      <t xml:space="preserve">单图切</t>
    </r>
    <r>
      <rPr>
        <sz val="10"/>
        <rFont val="Arial"/>
        <family val="0"/>
        <charset val="1"/>
      </rPr>
      <t xml:space="preserve">4x4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</si>
  <si>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合集</t>
    </r>
  </si>
  <si>
    <r>
      <rPr>
        <sz val="10"/>
        <rFont val="DejaVu Sans"/>
        <family val="2"/>
      </rPr>
      <t xml:space="preserve">爬坡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冲刺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耐力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恢复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下坡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控车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伤病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合同等 </t>
    </r>
    <r>
      <rPr>
        <sz val="10"/>
        <rFont val="Arial"/>
        <family val="0"/>
        <charset val="1"/>
      </rPr>
      <t xml:space="preserve">16 </t>
    </r>
    <r>
      <rPr>
        <sz val="10"/>
        <rFont val="DejaVu Sans"/>
        <family val="2"/>
      </rPr>
      <t xml:space="preserve">个</t>
    </r>
  </si>
  <si>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自行车</t>
    </r>
  </si>
  <si>
    <t xml:space="preserve">侧视整车</t>
  </si>
  <si>
    <r>
      <rPr>
        <sz val="10"/>
        <rFont val="Arial"/>
        <family val="0"/>
        <charset val="1"/>
      </rPr>
      <t xml:space="preserve">512x320 </t>
    </r>
    <r>
      <rPr>
        <sz val="10"/>
        <rFont val="DejaVu Sans"/>
        <family val="2"/>
      </rPr>
      <t xml:space="preserve">透明</t>
    </r>
  </si>
  <si>
    <r>
      <rPr>
        <sz val="10"/>
        <rFont val="DejaVu Sans"/>
        <family val="2"/>
      </rPr>
      <t xml:space="preserve">公路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爬坡轻量</t>
    </r>
    <r>
      <rPr>
        <sz val="10"/>
        <rFont val="Arial"/>
        <family val="0"/>
        <charset val="1"/>
      </rPr>
      <t xml:space="preserve">/TT/</t>
    </r>
    <r>
      <rPr>
        <sz val="10"/>
        <rFont val="DejaVu Sans"/>
        <family val="2"/>
      </rPr>
      <t xml:space="preserve">训练车；品质档靠涂装换色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轮组替换，不出新图</t>
    </r>
  </si>
  <si>
    <t xml:space="preserve">轮组侧视</t>
  </si>
  <si>
    <r>
      <rPr>
        <sz val="10"/>
        <rFont val="DejaVu Sans"/>
        <family val="2"/>
      </rPr>
      <t xml:space="preserve">低框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高框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碟轮；转动模糊用程序径向模糊</t>
    </r>
  </si>
  <si>
    <r>
      <rPr>
        <sz val="10"/>
        <rFont val="Arial"/>
        <family val="0"/>
        <charset val="1"/>
      </rPr>
      <t xml:space="preserve">3/4 </t>
    </r>
    <r>
      <rPr>
        <sz val="10"/>
        <rFont val="DejaVu Sans"/>
        <family val="2"/>
      </rPr>
      <t xml:space="preserve">展示图</t>
    </r>
  </si>
  <si>
    <t xml:space="preserve">1200x800</t>
  </si>
  <si>
    <t xml:space="preserve">装备界面用</t>
  </si>
  <si>
    <t xml:space="preserve">部件图标合集</t>
  </si>
  <si>
    <r>
      <rPr>
        <sz val="10"/>
        <rFont val="DejaVu Sans"/>
        <family val="2"/>
      </rPr>
      <t xml:space="preserve">每张切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格</t>
    </r>
  </si>
  <si>
    <r>
      <rPr>
        <sz val="10"/>
        <rFont val="DejaVu Sans"/>
        <family val="2"/>
      </rPr>
      <t xml:space="preserve">共 </t>
    </r>
    <r>
      <rPr>
        <sz val="10"/>
        <rFont val="Arial"/>
        <family val="0"/>
        <charset val="1"/>
      </rPr>
      <t xml:space="preserve">56 </t>
    </r>
    <r>
      <rPr>
        <sz val="10"/>
        <rFont val="DejaVu Sans"/>
        <family val="2"/>
      </rPr>
      <t xml:space="preserve">个部件图标：车架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轮组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传动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头盔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服装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眼镜等</t>
    </r>
  </si>
  <si>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场景</t>
    </r>
  </si>
  <si>
    <t xml:space="preserve">经营场景背景</t>
  </si>
  <si>
    <t xml:space="preserve">2560x1080</t>
  </si>
  <si>
    <r>
      <rPr>
        <sz val="10"/>
        <rFont val="DejaVu Sans"/>
        <family val="2"/>
      </rPr>
      <t xml:space="preserve">办公室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训练房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维修车间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医疗室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转会大厅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赞助洽谈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发布会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大巴内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颁奖台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荣誉室。夜晚版用引擎调色层</t>
    </r>
  </si>
  <si>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赛道</t>
    </r>
  </si>
  <si>
    <t xml:space="preserve">地标插画</t>
  </si>
  <si>
    <t xml:space="preserve">800x450</t>
  </si>
  <si>
    <r>
      <rPr>
        <sz val="10"/>
        <rFont val="DejaVu Sans"/>
        <family val="2"/>
      </rPr>
      <t xml:space="preserve">阿尔卑斯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比利牛斯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荷兰平原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意大利丘陵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石板路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海岸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城市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沙漠；</t>
    </r>
    <r>
      <rPr>
        <sz val="10"/>
        <rFont val="Arial"/>
        <family val="0"/>
        <charset val="1"/>
      </rPr>
      <t xml:space="preserve">25</t>
    </r>
    <r>
      <rPr>
        <sz val="10"/>
        <rFont val="DejaVu Sans"/>
        <family val="2"/>
      </rPr>
      <t xml:space="preserve">赛道按类型复用</t>
    </r>
  </si>
  <si>
    <t xml:space="preserve">赛段类型图标合集</t>
  </si>
  <si>
    <r>
      <rPr>
        <sz val="10"/>
        <rFont val="DejaVu Sans"/>
        <family val="2"/>
      </rPr>
      <t xml:space="preserve">单图切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格</t>
    </r>
  </si>
  <si>
    <r>
      <rPr>
        <sz val="10"/>
        <rFont val="DejaVu Sans"/>
        <family val="2"/>
      </rPr>
      <t xml:space="preserve">平路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丘陵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山地</t>
    </r>
    <r>
      <rPr>
        <sz val="10"/>
        <rFont val="Arial"/>
        <family val="0"/>
        <charset val="1"/>
      </rPr>
      <t xml:space="preserve">/ITT/TTT/</t>
    </r>
    <r>
      <rPr>
        <sz val="10"/>
        <rFont val="DejaVu Sans"/>
        <family val="2"/>
      </rPr>
      <t xml:space="preserve">爬坡终点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石板路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绕圈</t>
    </r>
  </si>
  <si>
    <t xml:space="preserve">赛事徽章</t>
  </si>
  <si>
    <r>
      <rPr>
        <sz val="10"/>
        <rFont val="DejaVu Sans"/>
        <family val="2"/>
      </rPr>
      <t xml:space="preserve">仅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个大赛；分站赛用文字排版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底色区分</t>
    </r>
  </si>
  <si>
    <t xml:space="preserve">领骑衫</t>
  </si>
  <si>
    <r>
      <rPr>
        <sz val="10"/>
        <rFont val="DejaVu Sans"/>
        <family val="2"/>
      </rPr>
      <t xml:space="preserve">总冠军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冲刺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爬坡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新秀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世界冠军</t>
    </r>
  </si>
  <si>
    <t xml:space="preserve">备选地标</t>
  </si>
  <si>
    <t xml:space="preserve">风格验证后按缺口补</t>
  </si>
  <si>
    <r>
      <rPr>
        <sz val="10"/>
        <rFont val="DejaVu Sans"/>
        <family val="2"/>
      </rPr>
      <t xml:space="preserve">赛道俯视地图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海拔剖面</t>
    </r>
  </si>
  <si>
    <t xml:space="preserve">-</t>
  </si>
  <si>
    <t xml:space="preserve">程序化</t>
  </si>
  <si>
    <t xml:space="preserve">数据绘制，不出图。仅需引擎内色阶配置</t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</si>
  <si>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竞速</t>
    </r>
  </si>
  <si>
    <r>
      <rPr>
        <sz val="10"/>
        <rFont val="Arial"/>
        <family val="0"/>
        <charset val="1"/>
      </rPr>
      <t xml:space="preserve">L1 </t>
    </r>
    <r>
      <rPr>
        <sz val="10"/>
        <rFont val="DejaVu Sans"/>
        <family val="2"/>
      </rPr>
      <t xml:space="preserve">远景层（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主题）</t>
    </r>
  </si>
  <si>
    <t xml:space="preserve">1600x600</t>
  </si>
  <si>
    <r>
      <rPr>
        <sz val="10"/>
        <rFont val="Arial"/>
        <family val="0"/>
        <charset val="1"/>
      </rPr>
      <t xml:space="preserve">AI+</t>
    </r>
    <r>
      <rPr>
        <sz val="10"/>
        <rFont val="DejaVu Sans"/>
        <family val="2"/>
      </rPr>
      <t xml:space="preserve">人工</t>
    </r>
  </si>
  <si>
    <t xml:space="preserve">出非循环长条，人工做左右对接</t>
  </si>
  <si>
    <r>
      <rPr>
        <sz val="10"/>
        <rFont val="Arial"/>
        <family val="0"/>
        <charset val="1"/>
      </rPr>
      <t xml:space="preserve">L2 </t>
    </r>
    <r>
      <rPr>
        <sz val="10"/>
        <rFont val="DejaVu Sans"/>
        <family val="2"/>
      </rPr>
      <t xml:space="preserve">中景层（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主题）</t>
    </r>
  </si>
  <si>
    <t xml:space="preserve">1600x500</t>
  </si>
  <si>
    <t xml:space="preserve">同上</t>
  </si>
  <si>
    <r>
      <rPr>
        <sz val="10"/>
        <rFont val="Arial"/>
        <family val="0"/>
        <charset val="1"/>
      </rPr>
      <t xml:space="preserve">L3 </t>
    </r>
    <r>
      <rPr>
        <sz val="10"/>
        <rFont val="DejaVu Sans"/>
        <family val="2"/>
      </rPr>
      <t xml:space="preserve">近景路边层（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主题）</t>
    </r>
  </si>
  <si>
    <t xml:space="preserve">1600x400</t>
  </si>
  <si>
    <t xml:space="preserve">广告牌位留空</t>
  </si>
  <si>
    <r>
      <rPr>
        <sz val="10"/>
        <rFont val="Arial"/>
        <family val="0"/>
        <charset val="1"/>
      </rPr>
      <t xml:space="preserve">L4 </t>
    </r>
    <r>
      <rPr>
        <sz val="10"/>
        <rFont val="DejaVu Sans"/>
        <family val="2"/>
      </rPr>
      <t xml:space="preserve">路面 </t>
    </r>
    <r>
      <rPr>
        <sz val="10"/>
        <rFont val="Arial"/>
        <family val="0"/>
        <charset val="1"/>
      </rPr>
      <t xml:space="preserve">tile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主题）</t>
    </r>
  </si>
  <si>
    <t xml:space="preserve">512x256</t>
  </si>
  <si>
    <t xml:space="preserve">人工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</si>
  <si>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做不出无缝，必须人工画</t>
    </r>
  </si>
  <si>
    <r>
      <rPr>
        <sz val="10"/>
        <rFont val="Arial"/>
        <family val="0"/>
        <charset val="1"/>
      </rPr>
      <t xml:space="preserve">L5 </t>
    </r>
    <r>
      <rPr>
        <sz val="10"/>
        <rFont val="DejaVu Sans"/>
        <family val="2"/>
      </rPr>
      <t xml:space="preserve">前景遮挡（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主题）</t>
    </r>
  </si>
  <si>
    <r>
      <rPr>
        <sz val="10"/>
        <rFont val="Arial"/>
        <family val="0"/>
        <charset val="1"/>
      </rPr>
      <t xml:space="preserve">800x400 </t>
    </r>
    <r>
      <rPr>
        <sz val="10"/>
        <rFont val="DejaVu Sans"/>
        <family val="2"/>
      </rPr>
      <t xml:space="preserve">透明</t>
    </r>
  </si>
  <si>
    <r>
      <rPr>
        <sz val="10"/>
        <rFont val="DejaVu Sans"/>
        <family val="2"/>
      </rPr>
      <t xml:space="preserve">草丛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旗帜</t>
    </r>
  </si>
  <si>
    <t xml:space="preserve">观众群</t>
  </si>
  <si>
    <t xml:space="preserve">可变 透明</t>
  </si>
  <si>
    <t xml:space="preserve">含挥旗帧；山顶密集人墙变体</t>
  </si>
  <si>
    <t xml:space="preserve">随行车辆</t>
  </si>
  <si>
    <r>
      <rPr>
        <sz val="10"/>
        <rFont val="DejaVu Sans"/>
        <family val="2"/>
      </rPr>
      <t xml:space="preserve">裁判摩托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中立器材车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队车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电视摩托</t>
    </r>
  </si>
  <si>
    <t xml:space="preserve">赛道设施合集</t>
  </si>
  <si>
    <r>
      <rPr>
        <sz val="10"/>
        <rFont val="DejaVu Sans"/>
        <family val="2"/>
      </rPr>
      <t xml:space="preserve">单图切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格</t>
    </r>
  </si>
  <si>
    <r>
      <rPr>
        <sz val="10"/>
        <rFont val="DejaVu Sans"/>
        <family val="2"/>
      </rPr>
      <t xml:space="preserve">起终点门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补给站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公里牌</t>
    </r>
    <r>
      <rPr>
        <sz val="10"/>
        <rFont val="Arial"/>
        <family val="0"/>
        <charset val="1"/>
      </rPr>
      <t xml:space="preserve">/KOM</t>
    </r>
    <r>
      <rPr>
        <sz val="10"/>
        <rFont val="DejaVu Sans"/>
        <family val="2"/>
      </rPr>
      <t xml:space="preserve">拱门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冲刺点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计时板</t>
    </r>
  </si>
  <si>
    <t xml:space="preserve">广告牌模板</t>
  </si>
  <si>
    <t xml:space="preserve">可变</t>
  </si>
  <si>
    <t xml:space="preserve">贴图位由程序动态替换</t>
  </si>
  <si>
    <t xml:space="preserve">特效贴图合集</t>
  </si>
  <si>
    <r>
      <rPr>
        <sz val="10"/>
        <rFont val="DejaVu Sans"/>
        <family val="2"/>
      </rPr>
      <t xml:space="preserve">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雪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扬尘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加速线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摔车尘</t>
    </r>
  </si>
  <si>
    <t xml:space="preserve">主题点缀元素</t>
  </si>
  <si>
    <r>
      <rPr>
        <sz val="10"/>
        <rFont val="DejaVu Sans"/>
        <family val="2"/>
      </rPr>
      <t xml:space="preserve">雪线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隧道口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环岛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人墙等</t>
    </r>
  </si>
  <si>
    <t xml:space="preserve">6 UI</t>
  </si>
  <si>
    <t xml:space="preserve">功能图标合集</t>
  </si>
  <si>
    <r>
      <rPr>
        <sz val="10"/>
        <rFont val="DejaVu Sans"/>
        <family val="2"/>
      </rPr>
      <t xml:space="preserve">每张</t>
    </r>
    <r>
      <rPr>
        <sz val="10"/>
        <rFont val="Arial"/>
        <family val="0"/>
        <charset val="1"/>
      </rPr>
      <t xml:space="preserve">4x4</t>
    </r>
    <r>
      <rPr>
        <sz val="10"/>
        <rFont val="DejaVu Sans"/>
        <family val="2"/>
      </rPr>
      <t xml:space="preserve">网格</t>
    </r>
  </si>
  <si>
    <r>
      <rPr>
        <sz val="10"/>
        <rFont val="DejaVu Sans"/>
        <family val="2"/>
      </rPr>
      <t xml:space="preserve">共 </t>
    </r>
    <r>
      <rPr>
        <sz val="10"/>
        <rFont val="Arial"/>
        <family val="0"/>
        <charset val="1"/>
      </rPr>
      <t xml:space="preserve">128 </t>
    </r>
    <r>
      <rPr>
        <sz val="10"/>
        <rFont val="DejaVu Sans"/>
        <family val="2"/>
      </rPr>
      <t xml:space="preserve">个图标；</t>
    </r>
    <r>
      <rPr>
        <sz val="10"/>
        <rFont val="Arial"/>
        <family val="0"/>
        <charset val="1"/>
      </rPr>
      <t xml:space="preserve">2px</t>
    </r>
    <r>
      <rPr>
        <sz val="10"/>
        <rFont val="DejaVu Sans"/>
        <family val="2"/>
      </rPr>
      <t xml:space="preserve">线宽单色填充，可染色</t>
    </r>
  </si>
  <si>
    <t xml:space="preserve">稀有度品质框</t>
  </si>
  <si>
    <r>
      <rPr>
        <sz val="10"/>
        <rFont val="Arial"/>
        <family val="0"/>
        <charset val="1"/>
      </rPr>
      <t xml:space="preserve">Loading </t>
    </r>
    <r>
      <rPr>
        <sz val="10"/>
        <rFont val="DejaVu Sans"/>
        <family val="2"/>
      </rPr>
      <t xml:space="preserve">骑行小人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</si>
  <si>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帧序列</t>
    </r>
  </si>
  <si>
    <t xml:space="preserve">空状态插画</t>
  </si>
  <si>
    <t xml:space="preserve">加载页插画</t>
  </si>
  <si>
    <r>
      <rPr>
        <sz val="10"/>
        <rFont val="DejaVu Sans"/>
        <family val="2"/>
      </rPr>
      <t xml:space="preserve">按钮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九宫格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滑条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开关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进度条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导航</t>
    </r>
  </si>
  <si>
    <t xml:space="preserve">Figma</t>
  </si>
  <si>
    <r>
      <rPr>
        <sz val="10"/>
        <rFont val="DejaVu Sans"/>
        <family val="2"/>
      </rPr>
      <t xml:space="preserve">不用 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，半天做完且更规范</t>
    </r>
  </si>
  <si>
    <r>
      <rPr>
        <sz val="10"/>
        <rFont val="Arial"/>
        <family val="0"/>
        <charset val="1"/>
      </rPr>
      <t xml:space="preserve">7 </t>
    </r>
    <r>
      <rPr>
        <sz val="10"/>
        <rFont val="DejaVu Sans"/>
        <family val="2"/>
      </rPr>
      <t xml:space="preserve">赞助商</t>
    </r>
  </si>
  <si>
    <r>
      <rPr>
        <sz val="10"/>
        <rFont val="DejaVu Sans"/>
        <family val="2"/>
      </rPr>
      <t xml:space="preserve">虚构品牌方形 </t>
    </r>
    <r>
      <rPr>
        <sz val="10"/>
        <rFont val="Arial"/>
        <family val="0"/>
        <charset val="1"/>
      </rPr>
      <t xml:space="preserve">Logo</t>
    </r>
  </si>
  <si>
    <t xml:space="preserve">512x512</t>
  </si>
  <si>
    <r>
      <rPr>
        <sz val="10"/>
        <rFont val="Arial"/>
        <family val="0"/>
        <charset val="1"/>
      </rPr>
      <t xml:space="preserve">minimalist flat corporate logo, geometric mark only, no text, single accent color</t>
    </r>
    <r>
      <rPr>
        <sz val="10"/>
        <rFont val="DejaVu Sans"/>
        <family val="2"/>
      </rPr>
      <t xml:space="preserve">。横版</t>
    </r>
    <r>
      <rPr>
        <sz val="10"/>
        <rFont val="Arial"/>
        <family val="0"/>
        <charset val="1"/>
      </rPr>
      <t xml:space="preserve">=</t>
    </r>
    <r>
      <rPr>
        <sz val="10"/>
        <rFont val="DejaVu Sans"/>
        <family val="2"/>
      </rPr>
      <t xml:space="preserve">方</t>
    </r>
    <r>
      <rPr>
        <sz val="10"/>
        <rFont val="Arial"/>
        <family val="0"/>
        <charset val="1"/>
      </rPr>
      <t xml:space="preserve">Logo+</t>
    </r>
    <r>
      <rPr>
        <sz val="10"/>
        <rFont val="DejaVu Sans"/>
        <family val="2"/>
      </rPr>
      <t xml:space="preserve">引擎排版品牌名</t>
    </r>
  </si>
  <si>
    <r>
      <rPr>
        <sz val="10"/>
        <rFont val="Arial"/>
        <family val="0"/>
        <charset val="1"/>
      </rPr>
      <t xml:space="preserve">8 </t>
    </r>
    <r>
      <rPr>
        <sz val="10"/>
        <rFont val="DejaVu Sans"/>
        <family val="2"/>
      </rPr>
      <t xml:space="preserve">车队</t>
    </r>
  </si>
  <si>
    <t xml:space="preserve">车队徽章</t>
  </si>
  <si>
    <r>
      <rPr>
        <sz val="10"/>
        <rFont val="DejaVu Sans"/>
        <family val="2"/>
      </rPr>
      <t xml:space="preserve">盾形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圆形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旗帜形混搭</t>
    </r>
  </si>
  <si>
    <t xml:space="preserve">队服花纹模板</t>
  </si>
  <si>
    <t xml:space="preserve">侧视贴图</t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</si>
  <si>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个模板在 </t>
    </r>
    <r>
      <rPr>
        <sz val="10"/>
        <rFont val="Arial"/>
        <family val="0"/>
        <charset val="1"/>
      </rPr>
      <t xml:space="preserve">PS </t>
    </r>
    <r>
      <rPr>
        <sz val="10"/>
        <rFont val="DejaVu Sans"/>
        <family val="2"/>
      </rPr>
      <t xml:space="preserve">画，每个约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分钟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三区域换色</t>
    </r>
  </si>
  <si>
    <r>
      <rPr>
        <sz val="10"/>
        <rFont val="Arial"/>
        <family val="0"/>
        <charset val="1"/>
      </rPr>
      <t xml:space="preserve">9 </t>
    </r>
    <r>
      <rPr>
        <sz val="10"/>
        <rFont val="DejaVu Sans"/>
        <family val="2"/>
      </rPr>
      <t xml:space="preserve">其他</t>
    </r>
  </si>
  <si>
    <t xml:space="preserve">事件剧情插画</t>
  </si>
  <si>
    <t xml:space="preserve">1200x675</t>
  </si>
  <si>
    <t xml:space="preserve">最值得投入的一项；无插画的事件弹窗极其单薄</t>
  </si>
  <si>
    <t xml:space="preserve">奖杯</t>
  </si>
  <si>
    <t xml:space="preserve">成就图标合集</t>
  </si>
  <si>
    <r>
      <rPr>
        <sz val="10"/>
        <rFont val="DejaVu Sans"/>
        <family val="2"/>
      </rPr>
      <t xml:space="preserve">每张切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格</t>
    </r>
  </si>
  <si>
    <r>
      <rPr>
        <sz val="10"/>
        <rFont val="DejaVu Sans"/>
        <family val="2"/>
      </rPr>
      <t xml:space="preserve">共 </t>
    </r>
    <r>
      <rPr>
        <sz val="10"/>
        <rFont val="Arial"/>
        <family val="0"/>
        <charset val="1"/>
      </rPr>
      <t xml:space="preserve">36 </t>
    </r>
    <r>
      <rPr>
        <sz val="10"/>
        <rFont val="DejaVu Sans"/>
        <family val="2"/>
      </rPr>
      <t xml:space="preserve">个成就图标</t>
    </r>
  </si>
  <si>
    <r>
      <rPr>
        <sz val="10"/>
        <rFont val="DejaVu Sans"/>
        <family val="2"/>
      </rPr>
      <t xml:space="preserve">主视觉 </t>
    </r>
    <r>
      <rPr>
        <sz val="10"/>
        <rFont val="Arial"/>
        <family val="0"/>
        <charset val="1"/>
      </rPr>
      <t xml:space="preserve">KV</t>
    </r>
  </si>
  <si>
    <t xml:space="preserve">3840x2160</t>
  </si>
  <si>
    <r>
      <rPr>
        <sz val="10"/>
        <rFont val="DejaVu Sans"/>
        <family val="2"/>
      </rPr>
      <t xml:space="preserve">官网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媒体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商店页头</t>
    </r>
  </si>
  <si>
    <r>
      <rPr>
        <sz val="10"/>
        <rFont val="Arial"/>
        <family val="0"/>
        <charset val="1"/>
      </rPr>
      <t xml:space="preserve">App </t>
    </r>
    <r>
      <rPr>
        <sz val="10"/>
        <rFont val="DejaVu Sans"/>
        <family val="2"/>
      </rPr>
      <t xml:space="preserve">图标</t>
    </r>
  </si>
  <si>
    <t xml:space="preserve">1024x1024</t>
  </si>
  <si>
    <t xml:space="preserve">商店截图底板</t>
  </si>
  <si>
    <t xml:space="preserve">2340x1080</t>
  </si>
  <si>
    <t xml:space="preserve">合计</t>
  </si>
  <si>
    <t xml:space="preserve">按每张平均迭代次数</t>
  </si>
  <si>
    <t xml:space="preserve">预计生成次数</t>
  </si>
  <si>
    <t xml:space="preserve">注：迭代次数为经验假设值（黄格可改），非实测数据。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</si>
</sst>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CE6F1"/>
      </patternFill>
    </fill>
    <fill>
      <patternFill patternType="solid">
        <fgColor rgb="FFC6E0B4"/>
        <bgColor rgb="FFE2E2E2"/>
      </patternFill>
    </fill>
    <fill>
      <patternFill patternType="solid">
        <fgColor rgb="FFE2E2E2"/>
        <bgColor rgb="FFDCE6F1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CE6F1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2E2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35.05" hidden="false" customHeight="false" outlineLevel="0" collapsed="false">
      <c r="A3" s="2" t="s">
        <v>4</v>
      </c>
      <c r="B3" s="3" t="s">
        <v>5</v>
      </c>
    </row>
    <row r="4" customFormat="false" ht="23.8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4" t="s">
        <v>11</v>
      </c>
    </row>
    <row r="7" customFormat="false" ht="15" hidden="false" customHeight="false" outlineLevel="0" collapsed="false">
      <c r="A7" s="2" t="s">
        <v>12</v>
      </c>
      <c r="B7" s="4" t="s">
        <v>13</v>
      </c>
    </row>
    <row r="8" customFormat="false" ht="15" hidden="false" customHeight="false" outlineLevel="0" collapsed="false">
      <c r="A8" s="2" t="s">
        <v>14</v>
      </c>
      <c r="B8" s="4" t="s">
        <v>15</v>
      </c>
    </row>
    <row r="9" customFormat="false" ht="15" hidden="false" customHeight="false" outlineLevel="0" collapsed="false">
      <c r="A9" s="2" t="s">
        <v>16</v>
      </c>
      <c r="B9" s="4" t="s">
        <v>17</v>
      </c>
    </row>
    <row r="10" customFormat="false" ht="15" hidden="false" customHeight="false" outlineLevel="0" collapsed="false">
      <c r="A10" s="2" t="s">
        <v>18</v>
      </c>
      <c r="B10" s="4" t="s">
        <v>19</v>
      </c>
    </row>
    <row r="11" customFormat="false" ht="15" hidden="false" customHeight="false" outlineLevel="0" collapsed="false">
      <c r="A11" s="2" t="s">
        <v>20</v>
      </c>
      <c r="B11" s="4" t="s">
        <v>21</v>
      </c>
    </row>
    <row r="12" customFormat="false" ht="15" hidden="false" customHeight="false" outlineLevel="0" collapsed="false">
      <c r="A12" s="2" t="s">
        <v>22</v>
      </c>
      <c r="B12" s="4" t="s">
        <v>23</v>
      </c>
    </row>
    <row r="13" customFormat="false" ht="15" hidden="false" customHeight="false" outlineLevel="0" collapsed="false">
      <c r="A13" s="2" t="s">
        <v>24</v>
      </c>
      <c r="B13" s="4" t="s">
        <v>25</v>
      </c>
    </row>
    <row r="14" customFormat="false" ht="15" hidden="false" customHeight="false" outlineLevel="0" collapsed="false">
      <c r="A14" s="2" t="s">
        <v>26</v>
      </c>
      <c r="B14" s="4" t="s">
        <v>27</v>
      </c>
    </row>
    <row r="15" customFormat="false" ht="15" hidden="false" customHeight="false" outlineLevel="0" collapsed="false">
      <c r="A15" s="2" t="s">
        <v>28</v>
      </c>
      <c r="B15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62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</row>
    <row r="2" customFormat="false" ht="15" hidden="false" customHeight="false" outlineLevel="0" collapsed="false">
      <c r="A2" s="6" t="n">
        <v>1</v>
      </c>
      <c r="B2" s="7" t="s">
        <v>38</v>
      </c>
      <c r="C2" s="8" t="s">
        <v>39</v>
      </c>
      <c r="D2" s="7" t="s">
        <v>40</v>
      </c>
      <c r="E2" s="6" t="n">
        <v>32</v>
      </c>
      <c r="F2" s="9" t="s">
        <v>41</v>
      </c>
      <c r="G2" s="8" t="s">
        <v>42</v>
      </c>
      <c r="H2" s="6"/>
    </row>
    <row r="3" customFormat="false" ht="23.85" hidden="false" customHeight="false" outlineLevel="0" collapsed="false">
      <c r="A3" s="6" t="n">
        <v>2</v>
      </c>
      <c r="B3" s="7" t="s">
        <v>38</v>
      </c>
      <c r="C3" s="8" t="s">
        <v>43</v>
      </c>
      <c r="D3" s="7" t="s">
        <v>44</v>
      </c>
      <c r="E3" s="6" t="n">
        <v>8</v>
      </c>
      <c r="F3" s="9" t="s">
        <v>41</v>
      </c>
      <c r="G3" s="8" t="s">
        <v>45</v>
      </c>
      <c r="H3" s="6"/>
    </row>
    <row r="4" customFormat="false" ht="15" hidden="false" customHeight="false" outlineLevel="0" collapsed="false">
      <c r="A4" s="6" t="n">
        <v>3</v>
      </c>
      <c r="B4" s="7" t="s">
        <v>38</v>
      </c>
      <c r="C4" s="8" t="s">
        <v>46</v>
      </c>
      <c r="D4" s="7" t="s">
        <v>47</v>
      </c>
      <c r="E4" s="6" t="n">
        <v>3</v>
      </c>
      <c r="F4" s="9" t="s">
        <v>41</v>
      </c>
      <c r="G4" s="8" t="s">
        <v>48</v>
      </c>
      <c r="H4" s="6"/>
    </row>
    <row r="5" customFormat="false" ht="15" hidden="false" customHeight="false" outlineLevel="0" collapsed="false">
      <c r="A5" s="6" t="n">
        <v>4</v>
      </c>
      <c r="B5" s="7" t="s">
        <v>38</v>
      </c>
      <c r="C5" s="8" t="s">
        <v>49</v>
      </c>
      <c r="D5" s="7" t="s">
        <v>50</v>
      </c>
      <c r="E5" s="6" t="n">
        <v>8</v>
      </c>
      <c r="F5" s="9" t="s">
        <v>41</v>
      </c>
      <c r="G5" s="8" t="s">
        <v>51</v>
      </c>
      <c r="H5" s="6"/>
    </row>
    <row r="6" customFormat="false" ht="15" hidden="false" customHeight="false" outlineLevel="0" collapsed="false">
      <c r="A6" s="6" t="n">
        <v>5</v>
      </c>
      <c r="B6" s="7" t="s">
        <v>38</v>
      </c>
      <c r="C6" s="8" t="s">
        <v>52</v>
      </c>
      <c r="D6" s="8" t="s">
        <v>53</v>
      </c>
      <c r="E6" s="6" t="n">
        <v>1</v>
      </c>
      <c r="F6" s="10" t="s">
        <v>54</v>
      </c>
      <c r="G6" s="8" t="s">
        <v>55</v>
      </c>
      <c r="H6" s="6"/>
    </row>
    <row r="7" customFormat="false" ht="15" hidden="false" customHeight="false" outlineLevel="0" collapsed="false">
      <c r="A7" s="6" t="n">
        <v>6</v>
      </c>
      <c r="B7" s="7" t="s">
        <v>56</v>
      </c>
      <c r="C7" s="8" t="s">
        <v>57</v>
      </c>
      <c r="D7" s="7" t="s">
        <v>58</v>
      </c>
      <c r="E7" s="6" t="n">
        <v>4</v>
      </c>
      <c r="F7" s="9" t="s">
        <v>41</v>
      </c>
      <c r="G7" s="8" t="s">
        <v>59</v>
      </c>
      <c r="H7" s="6"/>
    </row>
    <row r="8" customFormat="false" ht="15" hidden="false" customHeight="false" outlineLevel="0" collapsed="false">
      <c r="A8" s="6" t="n">
        <v>7</v>
      </c>
      <c r="B8" s="7" t="s">
        <v>56</v>
      </c>
      <c r="C8" s="8" t="s">
        <v>60</v>
      </c>
      <c r="D8" s="7" t="s">
        <v>40</v>
      </c>
      <c r="E8" s="6" t="n">
        <v>4</v>
      </c>
      <c r="F8" s="9" t="s">
        <v>41</v>
      </c>
      <c r="G8" s="8" t="s">
        <v>61</v>
      </c>
      <c r="H8" s="6"/>
    </row>
    <row r="9" customFormat="false" ht="15" hidden="false" customHeight="false" outlineLevel="0" collapsed="false">
      <c r="A9" s="6" t="n">
        <v>8</v>
      </c>
      <c r="B9" s="7" t="s">
        <v>56</v>
      </c>
      <c r="C9" s="7" t="s">
        <v>62</v>
      </c>
      <c r="D9" s="7" t="s">
        <v>63</v>
      </c>
      <c r="E9" s="6" t="n">
        <v>4</v>
      </c>
      <c r="F9" s="9" t="s">
        <v>41</v>
      </c>
      <c r="G9" s="8" t="s">
        <v>64</v>
      </c>
      <c r="H9" s="6"/>
    </row>
    <row r="10" customFormat="false" ht="15" hidden="false" customHeight="false" outlineLevel="0" collapsed="false">
      <c r="A10" s="6" t="n">
        <v>9</v>
      </c>
      <c r="B10" s="7" t="s">
        <v>56</v>
      </c>
      <c r="C10" s="8" t="s">
        <v>65</v>
      </c>
      <c r="D10" s="8" t="s">
        <v>66</v>
      </c>
      <c r="E10" s="6" t="n">
        <v>14</v>
      </c>
      <c r="F10" s="10" t="s">
        <v>54</v>
      </c>
      <c r="G10" s="8" t="s">
        <v>67</v>
      </c>
      <c r="H10" s="6"/>
    </row>
    <row r="11" customFormat="false" ht="23.85" hidden="false" customHeight="false" outlineLevel="0" collapsed="false">
      <c r="A11" s="6" t="n">
        <v>10</v>
      </c>
      <c r="B11" s="7" t="s">
        <v>68</v>
      </c>
      <c r="C11" s="8" t="s">
        <v>69</v>
      </c>
      <c r="D11" s="7" t="s">
        <v>70</v>
      </c>
      <c r="E11" s="6" t="n">
        <v>10</v>
      </c>
      <c r="F11" s="9" t="s">
        <v>41</v>
      </c>
      <c r="G11" s="8" t="s">
        <v>71</v>
      </c>
      <c r="H11" s="6"/>
    </row>
    <row r="12" customFormat="false" ht="23.85" hidden="false" customHeight="false" outlineLevel="0" collapsed="false">
      <c r="A12" s="6" t="n">
        <v>11</v>
      </c>
      <c r="B12" s="7" t="s">
        <v>72</v>
      </c>
      <c r="C12" s="8" t="s">
        <v>73</v>
      </c>
      <c r="D12" s="7" t="s">
        <v>74</v>
      </c>
      <c r="E12" s="6" t="n">
        <v>8</v>
      </c>
      <c r="F12" s="9" t="s">
        <v>41</v>
      </c>
      <c r="G12" s="8" t="s">
        <v>75</v>
      </c>
      <c r="H12" s="6"/>
    </row>
    <row r="13" customFormat="false" ht="15" hidden="false" customHeight="false" outlineLevel="0" collapsed="false">
      <c r="A13" s="6" t="n">
        <v>12</v>
      </c>
      <c r="B13" s="7" t="s">
        <v>72</v>
      </c>
      <c r="C13" s="8" t="s">
        <v>76</v>
      </c>
      <c r="D13" s="8" t="s">
        <v>77</v>
      </c>
      <c r="E13" s="6" t="n">
        <v>1</v>
      </c>
      <c r="F13" s="10" t="s">
        <v>54</v>
      </c>
      <c r="G13" s="8" t="s">
        <v>78</v>
      </c>
      <c r="H13" s="6"/>
    </row>
    <row r="14" customFormat="false" ht="15" hidden="false" customHeight="false" outlineLevel="0" collapsed="false">
      <c r="A14" s="6" t="n">
        <v>13</v>
      </c>
      <c r="B14" s="7" t="s">
        <v>72</v>
      </c>
      <c r="C14" s="8" t="s">
        <v>79</v>
      </c>
      <c r="D14" s="7" t="s">
        <v>40</v>
      </c>
      <c r="E14" s="6" t="n">
        <v>6</v>
      </c>
      <c r="F14" s="9" t="s">
        <v>41</v>
      </c>
      <c r="G14" s="8" t="s">
        <v>80</v>
      </c>
      <c r="H14" s="6"/>
    </row>
    <row r="15" customFormat="false" ht="15" hidden="false" customHeight="false" outlineLevel="0" collapsed="false">
      <c r="A15" s="6" t="n">
        <v>14</v>
      </c>
      <c r="B15" s="7" t="s">
        <v>72</v>
      </c>
      <c r="C15" s="8" t="s">
        <v>81</v>
      </c>
      <c r="D15" s="7" t="s">
        <v>40</v>
      </c>
      <c r="E15" s="6" t="n">
        <v>5</v>
      </c>
      <c r="F15" s="9" t="s">
        <v>41</v>
      </c>
      <c r="G15" s="8" t="s">
        <v>82</v>
      </c>
      <c r="H15" s="6"/>
    </row>
    <row r="16" customFormat="false" ht="15" hidden="false" customHeight="false" outlineLevel="0" collapsed="false">
      <c r="A16" s="6" t="n">
        <v>15</v>
      </c>
      <c r="B16" s="7" t="s">
        <v>72</v>
      </c>
      <c r="C16" s="8" t="s">
        <v>83</v>
      </c>
      <c r="D16" s="7" t="s">
        <v>74</v>
      </c>
      <c r="E16" s="6" t="n">
        <v>5</v>
      </c>
      <c r="F16" s="9" t="s">
        <v>41</v>
      </c>
      <c r="G16" s="8" t="s">
        <v>84</v>
      </c>
      <c r="H16" s="6"/>
    </row>
    <row r="17" customFormat="false" ht="15" hidden="false" customHeight="false" outlineLevel="0" collapsed="false">
      <c r="A17" s="6" t="n">
        <v>16</v>
      </c>
      <c r="B17" s="7" t="s">
        <v>72</v>
      </c>
      <c r="C17" s="8" t="s">
        <v>85</v>
      </c>
      <c r="D17" s="7" t="s">
        <v>86</v>
      </c>
      <c r="E17" s="6" t="n">
        <v>0</v>
      </c>
      <c r="F17" s="11" t="s">
        <v>87</v>
      </c>
      <c r="G17" s="8" t="s">
        <v>88</v>
      </c>
      <c r="H17" s="6"/>
    </row>
    <row r="18" customFormat="false" ht="15" hidden="false" customHeight="false" outlineLevel="0" collapsed="false">
      <c r="A18" s="6" t="n">
        <v>17</v>
      </c>
      <c r="B18" s="7" t="s">
        <v>89</v>
      </c>
      <c r="C18" s="7" t="s">
        <v>90</v>
      </c>
      <c r="D18" s="7" t="s">
        <v>91</v>
      </c>
      <c r="E18" s="6" t="n">
        <v>4</v>
      </c>
      <c r="F18" s="12" t="s">
        <v>92</v>
      </c>
      <c r="G18" s="8" t="s">
        <v>93</v>
      </c>
      <c r="H18" s="6"/>
    </row>
    <row r="19" customFormat="false" ht="15" hidden="false" customHeight="false" outlineLevel="0" collapsed="false">
      <c r="A19" s="6" t="n">
        <v>18</v>
      </c>
      <c r="B19" s="7" t="s">
        <v>89</v>
      </c>
      <c r="C19" s="7" t="s">
        <v>94</v>
      </c>
      <c r="D19" s="7" t="s">
        <v>95</v>
      </c>
      <c r="E19" s="6" t="n">
        <v>4</v>
      </c>
      <c r="F19" s="12" t="s">
        <v>92</v>
      </c>
      <c r="G19" s="8" t="s">
        <v>96</v>
      </c>
      <c r="H19" s="6"/>
    </row>
    <row r="20" customFormat="false" ht="15" hidden="false" customHeight="false" outlineLevel="0" collapsed="false">
      <c r="A20" s="6" t="n">
        <v>19</v>
      </c>
      <c r="B20" s="7" t="s">
        <v>89</v>
      </c>
      <c r="C20" s="7" t="s">
        <v>97</v>
      </c>
      <c r="D20" s="7" t="s">
        <v>98</v>
      </c>
      <c r="E20" s="6" t="n">
        <v>4</v>
      </c>
      <c r="F20" s="12" t="s">
        <v>92</v>
      </c>
      <c r="G20" s="8" t="s">
        <v>99</v>
      </c>
      <c r="H20" s="6"/>
    </row>
    <row r="21" customFormat="false" ht="15" hidden="false" customHeight="false" outlineLevel="0" collapsed="false">
      <c r="A21" s="6" t="n">
        <v>20</v>
      </c>
      <c r="B21" s="7" t="s">
        <v>89</v>
      </c>
      <c r="C21" s="7" t="s">
        <v>100</v>
      </c>
      <c r="D21" s="7" t="s">
        <v>101</v>
      </c>
      <c r="E21" s="6" t="n">
        <v>4</v>
      </c>
      <c r="F21" s="13" t="s">
        <v>102</v>
      </c>
      <c r="G21" s="7" t="s">
        <v>103</v>
      </c>
      <c r="H21" s="6"/>
    </row>
    <row r="22" customFormat="false" ht="15" hidden="false" customHeight="false" outlineLevel="0" collapsed="false">
      <c r="A22" s="6" t="n">
        <v>21</v>
      </c>
      <c r="B22" s="7" t="s">
        <v>89</v>
      </c>
      <c r="C22" s="7" t="s">
        <v>104</v>
      </c>
      <c r="D22" s="7" t="s">
        <v>105</v>
      </c>
      <c r="E22" s="6" t="n">
        <v>4</v>
      </c>
      <c r="F22" s="9" t="s">
        <v>41</v>
      </c>
      <c r="G22" s="8" t="s">
        <v>106</v>
      </c>
      <c r="H22" s="6"/>
    </row>
    <row r="23" customFormat="false" ht="15" hidden="false" customHeight="false" outlineLevel="0" collapsed="false">
      <c r="A23" s="6" t="n">
        <v>22</v>
      </c>
      <c r="B23" s="7" t="s">
        <v>89</v>
      </c>
      <c r="C23" s="8" t="s">
        <v>107</v>
      </c>
      <c r="D23" s="8" t="s">
        <v>108</v>
      </c>
      <c r="E23" s="6" t="n">
        <v>4</v>
      </c>
      <c r="F23" s="9" t="s">
        <v>41</v>
      </c>
      <c r="G23" s="8" t="s">
        <v>109</v>
      </c>
      <c r="H23" s="6"/>
    </row>
    <row r="24" customFormat="false" ht="15" hidden="false" customHeight="false" outlineLevel="0" collapsed="false">
      <c r="A24" s="6" t="n">
        <v>23</v>
      </c>
      <c r="B24" s="7" t="s">
        <v>89</v>
      </c>
      <c r="C24" s="8" t="s">
        <v>110</v>
      </c>
      <c r="D24" s="8" t="s">
        <v>108</v>
      </c>
      <c r="E24" s="6" t="n">
        <v>4</v>
      </c>
      <c r="F24" s="9" t="s">
        <v>41</v>
      </c>
      <c r="G24" s="8" t="s">
        <v>111</v>
      </c>
      <c r="H24" s="6"/>
    </row>
    <row r="25" customFormat="false" ht="15" hidden="false" customHeight="false" outlineLevel="0" collapsed="false">
      <c r="A25" s="6" t="n">
        <v>24</v>
      </c>
      <c r="B25" s="7" t="s">
        <v>89</v>
      </c>
      <c r="C25" s="8" t="s">
        <v>112</v>
      </c>
      <c r="D25" s="8" t="s">
        <v>113</v>
      </c>
      <c r="E25" s="6" t="n">
        <v>1</v>
      </c>
      <c r="F25" s="10" t="s">
        <v>54</v>
      </c>
      <c r="G25" s="8" t="s">
        <v>114</v>
      </c>
      <c r="H25" s="6"/>
    </row>
    <row r="26" customFormat="false" ht="15" hidden="false" customHeight="false" outlineLevel="0" collapsed="false">
      <c r="A26" s="6" t="n">
        <v>25</v>
      </c>
      <c r="B26" s="7" t="s">
        <v>89</v>
      </c>
      <c r="C26" s="8" t="s">
        <v>115</v>
      </c>
      <c r="D26" s="8" t="s">
        <v>116</v>
      </c>
      <c r="E26" s="6" t="n">
        <v>2</v>
      </c>
      <c r="F26" s="13" t="s">
        <v>102</v>
      </c>
      <c r="G26" s="8" t="s">
        <v>117</v>
      </c>
      <c r="H26" s="6"/>
    </row>
    <row r="27" customFormat="false" ht="15" hidden="false" customHeight="false" outlineLevel="0" collapsed="false">
      <c r="A27" s="6" t="n">
        <v>26</v>
      </c>
      <c r="B27" s="7" t="s">
        <v>89</v>
      </c>
      <c r="C27" s="8" t="s">
        <v>118</v>
      </c>
      <c r="D27" s="8" t="s">
        <v>116</v>
      </c>
      <c r="E27" s="6" t="n">
        <v>6</v>
      </c>
      <c r="F27" s="9" t="s">
        <v>41</v>
      </c>
      <c r="G27" s="8" t="s">
        <v>119</v>
      </c>
      <c r="H27" s="6"/>
    </row>
    <row r="28" customFormat="false" ht="15" hidden="false" customHeight="false" outlineLevel="0" collapsed="false">
      <c r="A28" s="6" t="n">
        <v>27</v>
      </c>
      <c r="B28" s="7" t="s">
        <v>89</v>
      </c>
      <c r="C28" s="8" t="s">
        <v>120</v>
      </c>
      <c r="D28" s="8" t="s">
        <v>108</v>
      </c>
      <c r="E28" s="6" t="n">
        <v>10</v>
      </c>
      <c r="F28" s="9" t="s">
        <v>41</v>
      </c>
      <c r="G28" s="8" t="s">
        <v>121</v>
      </c>
      <c r="H28" s="6"/>
    </row>
    <row r="29" customFormat="false" ht="15" hidden="false" customHeight="false" outlineLevel="0" collapsed="false">
      <c r="A29" s="6" t="n">
        <v>28</v>
      </c>
      <c r="B29" s="7" t="s">
        <v>122</v>
      </c>
      <c r="C29" s="8" t="s">
        <v>123</v>
      </c>
      <c r="D29" s="8" t="s">
        <v>124</v>
      </c>
      <c r="E29" s="6" t="n">
        <v>8</v>
      </c>
      <c r="F29" s="10" t="s">
        <v>54</v>
      </c>
      <c r="G29" s="8" t="s">
        <v>125</v>
      </c>
      <c r="H29" s="6"/>
    </row>
    <row r="30" customFormat="false" ht="15" hidden="false" customHeight="false" outlineLevel="0" collapsed="false">
      <c r="A30" s="6" t="n">
        <v>29</v>
      </c>
      <c r="B30" s="7" t="s">
        <v>122</v>
      </c>
      <c r="C30" s="8" t="s">
        <v>126</v>
      </c>
      <c r="D30" s="8" t="s">
        <v>116</v>
      </c>
      <c r="E30" s="6" t="n">
        <v>4</v>
      </c>
      <c r="F30" s="9" t="s">
        <v>41</v>
      </c>
      <c r="G30" s="7"/>
      <c r="H30" s="6"/>
    </row>
    <row r="31" customFormat="false" ht="15" hidden="false" customHeight="false" outlineLevel="0" collapsed="false">
      <c r="A31" s="6" t="n">
        <v>30</v>
      </c>
      <c r="B31" s="7" t="s">
        <v>122</v>
      </c>
      <c r="C31" s="7" t="s">
        <v>127</v>
      </c>
      <c r="D31" s="7" t="s">
        <v>128</v>
      </c>
      <c r="E31" s="6" t="n">
        <v>1</v>
      </c>
      <c r="F31" s="9" t="s">
        <v>41</v>
      </c>
      <c r="G31" s="7"/>
      <c r="H31" s="6"/>
    </row>
    <row r="32" customFormat="false" ht="15" hidden="false" customHeight="false" outlineLevel="0" collapsed="false">
      <c r="A32" s="6" t="n">
        <v>31</v>
      </c>
      <c r="B32" s="7" t="s">
        <v>122</v>
      </c>
      <c r="C32" s="8" t="s">
        <v>129</v>
      </c>
      <c r="D32" s="8" t="s">
        <v>116</v>
      </c>
      <c r="E32" s="6" t="n">
        <v>2</v>
      </c>
      <c r="F32" s="9" t="s">
        <v>41</v>
      </c>
      <c r="G32" s="7"/>
      <c r="H32" s="6"/>
    </row>
    <row r="33" customFormat="false" ht="15" hidden="false" customHeight="false" outlineLevel="0" collapsed="false">
      <c r="A33" s="6" t="n">
        <v>32</v>
      </c>
      <c r="B33" s="7" t="s">
        <v>122</v>
      </c>
      <c r="C33" s="8" t="s">
        <v>130</v>
      </c>
      <c r="D33" s="7" t="s">
        <v>70</v>
      </c>
      <c r="E33" s="6" t="n">
        <v>3</v>
      </c>
      <c r="F33" s="9" t="s">
        <v>41</v>
      </c>
      <c r="G33" s="7"/>
      <c r="H33" s="6"/>
    </row>
    <row r="34" customFormat="false" ht="23.85" hidden="false" customHeight="false" outlineLevel="0" collapsed="false">
      <c r="A34" s="6" t="n">
        <v>33</v>
      </c>
      <c r="B34" s="7" t="s">
        <v>122</v>
      </c>
      <c r="C34" s="8" t="s">
        <v>131</v>
      </c>
      <c r="D34" s="7" t="s">
        <v>86</v>
      </c>
      <c r="E34" s="6" t="n">
        <v>0</v>
      </c>
      <c r="F34" s="14" t="s">
        <v>132</v>
      </c>
      <c r="G34" s="8" t="s">
        <v>133</v>
      </c>
      <c r="H34" s="6"/>
    </row>
    <row r="35" customFormat="false" ht="23.85" hidden="false" customHeight="false" outlineLevel="0" collapsed="false">
      <c r="A35" s="6" t="n">
        <v>34</v>
      </c>
      <c r="B35" s="7" t="s">
        <v>134</v>
      </c>
      <c r="C35" s="8" t="s">
        <v>135</v>
      </c>
      <c r="D35" s="7" t="s">
        <v>136</v>
      </c>
      <c r="E35" s="6" t="n">
        <v>24</v>
      </c>
      <c r="F35" s="9" t="s">
        <v>41</v>
      </c>
      <c r="G35" s="7" t="s">
        <v>137</v>
      </c>
      <c r="H35" s="6"/>
    </row>
    <row r="36" customFormat="false" ht="15" hidden="false" customHeight="false" outlineLevel="0" collapsed="false">
      <c r="A36" s="6" t="n">
        <v>35</v>
      </c>
      <c r="B36" s="7" t="s">
        <v>138</v>
      </c>
      <c r="C36" s="8" t="s">
        <v>139</v>
      </c>
      <c r="D36" s="7" t="s">
        <v>136</v>
      </c>
      <c r="E36" s="6" t="n">
        <v>20</v>
      </c>
      <c r="F36" s="9" t="s">
        <v>41</v>
      </c>
      <c r="G36" s="8" t="s">
        <v>140</v>
      </c>
      <c r="H36" s="6"/>
    </row>
    <row r="37" customFormat="false" ht="15" hidden="false" customHeight="false" outlineLevel="0" collapsed="false">
      <c r="A37" s="6" t="n">
        <v>36</v>
      </c>
      <c r="B37" s="7" t="s">
        <v>138</v>
      </c>
      <c r="C37" s="8" t="s">
        <v>141</v>
      </c>
      <c r="D37" s="8" t="s">
        <v>142</v>
      </c>
      <c r="E37" s="6" t="n">
        <v>0</v>
      </c>
      <c r="F37" s="13" t="s">
        <v>102</v>
      </c>
      <c r="G37" s="7" t="s">
        <v>143</v>
      </c>
      <c r="H37" s="6"/>
    </row>
    <row r="38" customFormat="false" ht="15" hidden="false" customHeight="false" outlineLevel="0" collapsed="false">
      <c r="A38" s="6" t="n">
        <v>37</v>
      </c>
      <c r="B38" s="7" t="s">
        <v>144</v>
      </c>
      <c r="C38" s="8" t="s">
        <v>145</v>
      </c>
      <c r="D38" s="7" t="s">
        <v>146</v>
      </c>
      <c r="E38" s="6" t="n">
        <v>20</v>
      </c>
      <c r="F38" s="9" t="s">
        <v>41</v>
      </c>
      <c r="G38" s="8" t="s">
        <v>147</v>
      </c>
      <c r="H38" s="6"/>
    </row>
    <row r="39" customFormat="false" ht="15" hidden="false" customHeight="false" outlineLevel="0" collapsed="false">
      <c r="A39" s="6" t="n">
        <v>38</v>
      </c>
      <c r="B39" s="7" t="s">
        <v>144</v>
      </c>
      <c r="C39" s="8" t="s">
        <v>148</v>
      </c>
      <c r="D39" s="8" t="s">
        <v>116</v>
      </c>
      <c r="E39" s="6" t="n">
        <v>3</v>
      </c>
      <c r="F39" s="9" t="s">
        <v>41</v>
      </c>
      <c r="G39" s="7"/>
      <c r="H39" s="6"/>
    </row>
    <row r="40" customFormat="false" ht="15" hidden="false" customHeight="false" outlineLevel="0" collapsed="false">
      <c r="A40" s="6" t="n">
        <v>39</v>
      </c>
      <c r="B40" s="7" t="s">
        <v>144</v>
      </c>
      <c r="C40" s="8" t="s">
        <v>149</v>
      </c>
      <c r="D40" s="8" t="s">
        <v>150</v>
      </c>
      <c r="E40" s="6" t="n">
        <v>4</v>
      </c>
      <c r="F40" s="10" t="s">
        <v>54</v>
      </c>
      <c r="G40" s="8" t="s">
        <v>151</v>
      </c>
      <c r="H40" s="6"/>
    </row>
    <row r="41" customFormat="false" ht="15" hidden="false" customHeight="false" outlineLevel="0" collapsed="false">
      <c r="A41" s="6" t="n">
        <v>40</v>
      </c>
      <c r="B41" s="7" t="s">
        <v>144</v>
      </c>
      <c r="C41" s="8" t="s">
        <v>152</v>
      </c>
      <c r="D41" s="7" t="s">
        <v>153</v>
      </c>
      <c r="E41" s="6" t="n">
        <v>1</v>
      </c>
      <c r="F41" s="9" t="s">
        <v>41</v>
      </c>
      <c r="G41" s="8" t="s">
        <v>154</v>
      </c>
      <c r="H41" s="6"/>
    </row>
    <row r="42" customFormat="false" ht="15" hidden="false" customHeight="false" outlineLevel="0" collapsed="false">
      <c r="A42" s="6" t="n">
        <v>41</v>
      </c>
      <c r="B42" s="7" t="s">
        <v>144</v>
      </c>
      <c r="C42" s="7" t="s">
        <v>155</v>
      </c>
      <c r="D42" s="7" t="s">
        <v>156</v>
      </c>
      <c r="E42" s="6" t="n">
        <v>1</v>
      </c>
      <c r="F42" s="9" t="s">
        <v>41</v>
      </c>
      <c r="G42" s="7"/>
      <c r="H42" s="6"/>
    </row>
    <row r="43" customFormat="false" ht="15" hidden="false" customHeight="false" outlineLevel="0" collapsed="false">
      <c r="A43" s="6" t="n">
        <v>42</v>
      </c>
      <c r="B43" s="7" t="s">
        <v>144</v>
      </c>
      <c r="C43" s="8" t="s">
        <v>157</v>
      </c>
      <c r="D43" s="7" t="s">
        <v>158</v>
      </c>
      <c r="E43" s="6" t="n">
        <v>3</v>
      </c>
      <c r="F43" s="9" t="s">
        <v>41</v>
      </c>
      <c r="G43" s="7"/>
      <c r="H43" s="6"/>
    </row>
    <row r="44" customFormat="false" ht="15" hidden="false" customHeight="false" outlineLevel="0" collapsed="false">
      <c r="A44" s="15"/>
      <c r="B44" s="16" t="s">
        <v>159</v>
      </c>
      <c r="C44" s="16"/>
      <c r="D44" s="16"/>
      <c r="E44" s="15" t="n">
        <f aca="false">SUM(E2:E43)</f>
        <v>254</v>
      </c>
      <c r="F44" s="15"/>
      <c r="G44" s="16"/>
      <c r="H44" s="15"/>
    </row>
  </sheetData>
  <autoFilter ref="A1:H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7" t="s">
        <v>31</v>
      </c>
      <c r="B1" s="17" t="s">
        <v>34</v>
      </c>
    </row>
    <row r="2" customFormat="false" ht="15" hidden="false" customHeight="false" outlineLevel="0" collapsed="false">
      <c r="A2" s="18" t="s">
        <v>38</v>
      </c>
      <c r="B2" s="19" t="n">
        <f aca="false">SUMIF('1-出图清单'!$B$2:$B$43,$A2,'1-出图清单'!$E$2:$E$43)</f>
        <v>52</v>
      </c>
    </row>
    <row r="3" customFormat="false" ht="15" hidden="false" customHeight="false" outlineLevel="0" collapsed="false">
      <c r="A3" s="18" t="s">
        <v>56</v>
      </c>
      <c r="B3" s="19" t="n">
        <f aca="false">SUMIF('1-出图清单'!$B$2:$B$43,$A3,'1-出图清单'!$E$2:$E$43)</f>
        <v>26</v>
      </c>
    </row>
    <row r="4" customFormat="false" ht="15" hidden="false" customHeight="false" outlineLevel="0" collapsed="false">
      <c r="A4" s="18" t="s">
        <v>68</v>
      </c>
      <c r="B4" s="19" t="n">
        <f aca="false">SUMIF('1-出图清单'!$B$2:$B$43,$A4,'1-出图清单'!$E$2:$E$43)</f>
        <v>10</v>
      </c>
    </row>
    <row r="5" customFormat="false" ht="15" hidden="false" customHeight="false" outlineLevel="0" collapsed="false">
      <c r="A5" s="18" t="s">
        <v>72</v>
      </c>
      <c r="B5" s="19" t="n">
        <f aca="false">SUMIF('1-出图清单'!$B$2:$B$43,$A5,'1-出图清单'!$E$2:$E$43)</f>
        <v>25</v>
      </c>
    </row>
    <row r="6" customFormat="false" ht="15" hidden="false" customHeight="false" outlineLevel="0" collapsed="false">
      <c r="A6" s="18" t="s">
        <v>89</v>
      </c>
      <c r="B6" s="19" t="n">
        <f aca="false">SUMIF('1-出图清单'!$B$2:$B$43,$A6,'1-出图清单'!$E$2:$E$43)</f>
        <v>47</v>
      </c>
    </row>
    <row r="7" customFormat="false" ht="15" hidden="false" customHeight="false" outlineLevel="0" collapsed="false">
      <c r="A7" s="18" t="s">
        <v>122</v>
      </c>
      <c r="B7" s="19" t="n">
        <f aca="false">SUMIF('1-出图清单'!$B$2:$B$43,$A7,'1-出图清单'!$E$2:$E$43)</f>
        <v>18</v>
      </c>
    </row>
    <row r="8" customFormat="false" ht="15" hidden="false" customHeight="false" outlineLevel="0" collapsed="false">
      <c r="A8" s="18" t="s">
        <v>134</v>
      </c>
      <c r="B8" s="19" t="n">
        <f aca="false">SUMIF('1-出图清单'!$B$2:$B$43,$A8,'1-出图清单'!$E$2:$E$43)</f>
        <v>24</v>
      </c>
    </row>
    <row r="9" customFormat="false" ht="15" hidden="false" customHeight="false" outlineLevel="0" collapsed="false">
      <c r="A9" s="18" t="s">
        <v>138</v>
      </c>
      <c r="B9" s="19" t="n">
        <f aca="false">SUMIF('1-出图清单'!$B$2:$B$43,$A9,'1-出图清单'!$E$2:$E$43)</f>
        <v>20</v>
      </c>
    </row>
    <row r="10" customFormat="false" ht="15" hidden="false" customHeight="false" outlineLevel="0" collapsed="false">
      <c r="A10" s="18" t="s">
        <v>144</v>
      </c>
      <c r="B10" s="19" t="n">
        <f aca="false">SUMIF('1-出图清单'!$B$2:$B$43,$A10,'1-出图清单'!$E$2:$E$43)</f>
        <v>32</v>
      </c>
    </row>
    <row r="11" customFormat="false" ht="15" hidden="false" customHeight="false" outlineLevel="0" collapsed="false">
      <c r="A11" s="2" t="s">
        <v>159</v>
      </c>
      <c r="B11" s="20" t="n">
        <f aca="false">SUM(B2:B10)</f>
        <v>254</v>
      </c>
    </row>
    <row r="13" customFormat="false" ht="15" hidden="false" customHeight="false" outlineLevel="0" collapsed="false">
      <c r="A13" s="21" t="s">
        <v>160</v>
      </c>
      <c r="B13" s="22" t="n">
        <v>4</v>
      </c>
    </row>
    <row r="14" customFormat="false" ht="15" hidden="false" customHeight="false" outlineLevel="0" collapsed="false">
      <c r="A14" s="2" t="s">
        <v>161</v>
      </c>
      <c r="B14" s="20" t="n">
        <f aca="false">B11*B13</f>
        <v>1016</v>
      </c>
    </row>
    <row r="16" customFormat="false" ht="15" hidden="false" customHeight="false" outlineLevel="0" collapsed="false">
      <c r="A16" s="23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2026-08-29T02:20:05Z</dcterms:created>
  <dc:creator>openpyxl</dc:creator>
  <dc:description/>
  <dc:language>en-US</dc:language>
  <cp:lastModifiedBy/>
  <dcterms:modified xsi:type="dcterms:W3CDTF">2026-08-29T02:20:05Z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